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liminary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<sst xmlns="http://schemas.openxmlformats.org/spreadsheetml/2006/main" count="104" uniqueCount="90">
  <si>
    <t xml:space="preserve">Item #</t>
  </si>
  <si>
    <t xml:space="preserve">Part Name</t>
  </si>
  <si>
    <t xml:space="preserve">Description</t>
  </si>
  <si>
    <t xml:space="preserve">Qty</t>
  </si>
  <si>
    <t xml:space="preserve">Manufacturer</t>
  </si>
  <si>
    <t xml:space="preserve">Part Number</t>
  </si>
  <si>
    <t xml:space="preserve">Package / Footprint</t>
  </si>
  <si>
    <t xml:space="preserve">Supplier</t>
  </si>
  <si>
    <t xml:space="preserve">Unit Cost (USD)</t>
  </si>
  <si>
    <t xml:space="preserve">Total Cost (USD)</t>
  </si>
  <si>
    <t xml:space="preserve">Notes</t>
  </si>
  <si>
    <t xml:space="preserve">Microcontroller (MCU)</t>
  </si>
  <si>
    <t xml:space="preserve">Dual-core Xtensa LX7 dev board, Wi-Fi/BLE, native USB-C, 240 MHz</t>
  </si>
  <si>
    <t xml:space="preserve">Espressif Systems</t>
  </si>
  <si>
    <t xml:space="preserve">ESP32-S3-DEVKITC-1-N8</t>
  </si>
  <si>
    <t xml:space="preserve">Dev board, 2.54 mm pin headers</t>
  </si>
  <si>
    <t xml:space="preserve">DigiKey / AliExpress</t>
  </si>
  <si>
    <t xml:space="preserve">Central controller; native USB-C simplifies programming/debug</t>
  </si>
  <si>
    <t xml:space="preserve">Stepper motor driver</t>
  </si>
  <si>
    <t xml:space="preserve">Bipolar stepper driver IC, up to 2 A/phase, adjustable current via VREF</t>
  </si>
  <si>
    <t xml:space="preserve">Allegro MicroSystems (IC) / Pololu (breakout)</t>
  </si>
  <si>
    <t xml:space="preserve">A4988 (StepStick module)</t>
  </si>
  <si>
    <t xml:space="preserve">Breakout module, 16-pin socket</t>
  </si>
  <si>
    <t xml:space="preserve">AliExpress / local electronics store</t>
  </si>
  <si>
    <t xml:space="preserve">Pin-compatible with DRV8825 if a driver upgrade is needed</t>
  </si>
  <si>
    <t xml:space="preserve">Stepper motor</t>
  </si>
  <si>
    <t xml:space="preserve">1.8 deg step angle, bipolar, 1.5 A/phase, ~40 N-cm holding torque</t>
  </si>
  <si>
    <t xml:space="preserve">STEPPERONLINE (generic)</t>
  </si>
  <si>
    <t xml:space="preserve">17HS4401</t>
  </si>
  <si>
    <t xml:space="preserve">NEMA17 frame, 4-wire bipolar</t>
  </si>
  <si>
    <t xml:space="preserve">One motor per joint: shoulder, elbow, Z axis</t>
  </si>
  <si>
    <t xml:space="preserve">Servo motor</t>
  </si>
  <si>
    <t xml:space="preserve">9 g micro servo, 180 deg rotation, 4.8-6 V operating range</t>
  </si>
  <si>
    <t xml:space="preserve">TowerPro (generic)</t>
  </si>
  <si>
    <t xml:space="preserve">SG90</t>
  </si>
  <si>
    <t xml:space="preserve">Standard micro servo housing, 3-pin JST</t>
  </si>
  <si>
    <t xml:space="preserve">Local electronics store / AliExpress</t>
  </si>
  <si>
    <t xml:space="preserve">Gripper actuator; upgradeable to MG90S for more torque</t>
  </si>
  <si>
    <t xml:space="preserve">Limit switch</t>
  </si>
  <si>
    <t xml:space="preserve">SPDT lever micro switch, 5 A / 125 VAC rated</t>
  </si>
  <si>
    <t xml:space="preserve">Generic (Omron-compatible)</t>
  </si>
  <si>
    <t xml:space="preserve">V-156-1C25</t>
  </si>
  <si>
    <t xml:space="preserve">THT, lever actuator</t>
  </si>
  <si>
    <t xml:space="preserve">Local electronics store</t>
  </si>
  <si>
    <t xml:space="preserve">One per axis, used as the homing reference</t>
  </si>
  <si>
    <t xml:space="preserve">Power supply</t>
  </si>
  <si>
    <t xml:space="preserve">Switching AC-DC adapter, 12 V output, 5 A max, 5.5x2.1 mm barrel jack</t>
  </si>
  <si>
    <t xml:space="preserve">Generic</t>
  </si>
  <si>
    <t xml:space="preserve">12V5A-5525</t>
  </si>
  <si>
    <t xml:space="preserve">Wall adapter</t>
  </si>
  <si>
    <t xml:space="preserve">Local electronics store / Amazon</t>
  </si>
  <si>
    <t xml:space="preserve">Sized with margin above peak simultaneous motor current</t>
  </si>
  <si>
    <t xml:space="preserve">Buck converter</t>
  </si>
  <si>
    <t xml:space="preserve">Adjustable step-down DC-DC module, up to 3 A output</t>
  </si>
  <si>
    <t xml:space="preserve">LM2596 module</t>
  </si>
  <si>
    <t xml:space="preserve">Breakout board with trimpot</t>
  </si>
  <si>
    <t xml:space="preserve">AliExpress</t>
  </si>
  <si>
    <t xml:space="preserve">Set to 5 V output before connecting to the MCU</t>
  </si>
  <si>
    <t xml:space="preserve">Electrolytic capacitor</t>
  </si>
  <si>
    <t xml:space="preserve">100 uF, 35 V, radial electrolytic</t>
  </si>
  <si>
    <t xml:space="preserve">100uF/35V</t>
  </si>
  <si>
    <t xml:space="preserve">THT radial, 5 mm pitch</t>
  </si>
  <si>
    <t xml:space="preserve">Placed close to each A4988 VMOT pin for noise filtering</t>
  </si>
  <si>
    <t xml:space="preserve">Heat sink</t>
  </si>
  <si>
    <t xml:space="preserve">Small aluminum heat sink for TO-220/StepStick driver</t>
  </si>
  <si>
    <t xml:space="preserve">HS-TO220</t>
  </si>
  <si>
    <t xml:space="preserve">Adhesive-backed aluminum fin</t>
  </si>
  <si>
    <t xml:space="preserve">Improves thermal margin under continuous operation</t>
  </si>
  <si>
    <t xml:space="preserve">Jumper wire set</t>
  </si>
  <si>
    <t xml:space="preserve">Dupont jumper wires, M-M / M-F / F-F, 40 pcs each, 20 cm</t>
  </si>
  <si>
    <t xml:space="preserve">DuPont-40x3</t>
  </si>
  <si>
    <t xml:space="preserve">Ribbon cable, pre-crimped connectors</t>
  </si>
  <si>
    <t xml:space="preserve">General interconnection between MCU, drivers, switches and servo</t>
  </si>
  <si>
    <t xml:space="preserve">Screw terminal block</t>
  </si>
  <si>
    <t xml:space="preserve">2-pin screw terminal block, 5.08 mm pitch</t>
  </si>
  <si>
    <t xml:space="preserve">KF301-2P</t>
  </si>
  <si>
    <t xml:space="preserve">THT, pluggable</t>
  </si>
  <si>
    <t xml:space="preserve">Secure power connections at each stage</t>
  </si>
  <si>
    <t xml:space="preserve">USB-C cable</t>
  </si>
  <si>
    <t xml:space="preserve">USB-A to USB-C data/power cable, 1 m</t>
  </si>
  <si>
    <t xml:space="preserve">USB-A-C-1M</t>
  </si>
  <si>
    <t xml:space="preserve">Cable assembly</t>
  </si>
  <si>
    <t xml:space="preserve">Programming/debug link between the ESP32-S3 and the PC</t>
  </si>
  <si>
    <t xml:space="preserve">Prototype board</t>
  </si>
  <si>
    <t xml:space="preserve">Perforated bakelite/phenolic prototyping board</t>
  </si>
  <si>
    <t xml:space="preserve">PB-1015</t>
  </si>
  <si>
    <t xml:space="preserve">10x15 cm, single-sided, 1 mm pitch holes</t>
  </si>
  <si>
    <t xml:space="preserve">For soldering the control electronics</t>
  </si>
  <si>
    <t xml:space="preserve">Approximate total prototype cost</t>
  </si>
  <si>
    <t xml:space="preserve">Note: approximate costs in USD, based on reference prices from online electronics retailers (Sep. 2026); may vary by supplier, availability, and import fees. Manufacturer names are indicative for generic/clone parts commonly sold under this part number.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</si>
</sst>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10" min="9" style="0" width="12"/>
    <col collapsed="false" customWidth="true" hidden="false" outlineLevel="0" max="11" min="11" style="0" width="3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3" t="s">
        <v>11</v>
      </c>
      <c r="C2" s="3" t="s">
        <v>12</v>
      </c>
      <c r="D2" s="2" t="n">
        <v>1</v>
      </c>
      <c r="E2" s="3" t="s">
        <v>13</v>
      </c>
      <c r="F2" s="3" t="s">
        <v>14</v>
      </c>
      <c r="G2" s="3" t="s">
        <v>15</v>
      </c>
      <c r="H2" s="3" t="s">
        <v>16</v>
      </c>
      <c r="I2" s="4" t="n">
        <v>15</v>
      </c>
      <c r="J2" s="4" t="n">
        <f aca="false">D2*I2</f>
        <v>15</v>
      </c>
      <c r="K2" s="3" t="s">
        <v>17</v>
      </c>
    </row>
    <row r="3" customFormat="false" ht="23.85" hidden="false" customHeight="false" outlineLevel="0" collapsed="false">
      <c r="A3" s="2" t="n">
        <v>2</v>
      </c>
      <c r="B3" s="3" t="s">
        <v>18</v>
      </c>
      <c r="C3" s="3" t="s">
        <v>19</v>
      </c>
      <c r="D3" s="2" t="n">
        <v>3</v>
      </c>
      <c r="E3" s="3" t="s">
        <v>20</v>
      </c>
      <c r="F3" s="3" t="s">
        <v>21</v>
      </c>
      <c r="G3" s="3" t="s">
        <v>22</v>
      </c>
      <c r="H3" s="3" t="s">
        <v>23</v>
      </c>
      <c r="I3" s="4" t="n">
        <v>3</v>
      </c>
      <c r="J3" s="4" t="n">
        <f aca="false">D3*I3</f>
        <v>9</v>
      </c>
      <c r="K3" s="3" t="s">
        <v>24</v>
      </c>
    </row>
    <row r="4" customFormat="false" ht="23.85" hidden="false" customHeight="false" outlineLevel="0" collapsed="false">
      <c r="A4" s="2" t="n">
        <v>3</v>
      </c>
      <c r="B4" s="3" t="s">
        <v>25</v>
      </c>
      <c r="C4" s="3" t="s">
        <v>26</v>
      </c>
      <c r="D4" s="2" t="n">
        <v>3</v>
      </c>
      <c r="E4" s="3" t="s">
        <v>27</v>
      </c>
      <c r="F4" s="3" t="s">
        <v>28</v>
      </c>
      <c r="G4" s="3" t="s">
        <v>29</v>
      </c>
      <c r="H4" s="3" t="s">
        <v>23</v>
      </c>
      <c r="I4" s="4" t="n">
        <v>10</v>
      </c>
      <c r="J4" s="4" t="n">
        <f aca="false">D4*I4</f>
        <v>30</v>
      </c>
      <c r="K4" s="3" t="s">
        <v>30</v>
      </c>
    </row>
    <row r="5" customFormat="false" ht="23.85" hidden="false" customHeight="false" outlineLevel="0" collapsed="false">
      <c r="A5" s="2" t="n">
        <v>4</v>
      </c>
      <c r="B5" s="3" t="s">
        <v>31</v>
      </c>
      <c r="C5" s="3" t="s">
        <v>32</v>
      </c>
      <c r="D5" s="2" t="n">
        <v>1</v>
      </c>
      <c r="E5" s="3" t="s">
        <v>33</v>
      </c>
      <c r="F5" s="3" t="s">
        <v>34</v>
      </c>
      <c r="G5" s="3" t="s">
        <v>35</v>
      </c>
      <c r="H5" s="3" t="s">
        <v>36</v>
      </c>
      <c r="I5" s="4" t="n">
        <v>3.5</v>
      </c>
      <c r="J5" s="4" t="n">
        <f aca="false">D5*I5</f>
        <v>3.5</v>
      </c>
      <c r="K5" s="3" t="s">
        <v>37</v>
      </c>
    </row>
    <row r="6" customFormat="false" ht="23.85" hidden="false" customHeight="false" outlineLevel="0" collapsed="false">
      <c r="A6" s="2" t="n">
        <v>5</v>
      </c>
      <c r="B6" s="3" t="s">
        <v>38</v>
      </c>
      <c r="C6" s="3" t="s">
        <v>39</v>
      </c>
      <c r="D6" s="2" t="n">
        <v>3</v>
      </c>
      <c r="E6" s="3" t="s">
        <v>40</v>
      </c>
      <c r="F6" s="3" t="s">
        <v>41</v>
      </c>
      <c r="G6" s="3" t="s">
        <v>42</v>
      </c>
      <c r="H6" s="3" t="s">
        <v>43</v>
      </c>
      <c r="I6" s="4" t="n">
        <v>0.6</v>
      </c>
      <c r="J6" s="4" t="n">
        <f aca="false">D6*I6</f>
        <v>1.8</v>
      </c>
      <c r="K6" s="3" t="s">
        <v>44</v>
      </c>
    </row>
    <row r="7" customFormat="false" ht="23.85" hidden="false" customHeight="false" outlineLevel="0" collapsed="false">
      <c r="A7" s="2" t="n">
        <v>6</v>
      </c>
      <c r="B7" s="3" t="s">
        <v>45</v>
      </c>
      <c r="C7" s="3" t="s">
        <v>46</v>
      </c>
      <c r="D7" s="2" t="n">
        <v>1</v>
      </c>
      <c r="E7" s="3" t="s">
        <v>47</v>
      </c>
      <c r="F7" s="3" t="s">
        <v>48</v>
      </c>
      <c r="G7" s="3" t="s">
        <v>49</v>
      </c>
      <c r="H7" s="3" t="s">
        <v>50</v>
      </c>
      <c r="I7" s="4" t="n">
        <v>12</v>
      </c>
      <c r="J7" s="4" t="n">
        <f aca="false">D7*I7</f>
        <v>12</v>
      </c>
      <c r="K7" s="3" t="s">
        <v>51</v>
      </c>
    </row>
    <row r="8" customFormat="false" ht="23.85" hidden="false" customHeight="false" outlineLevel="0" collapsed="false">
      <c r="A8" s="2" t="n">
        <v>7</v>
      </c>
      <c r="B8" s="3" t="s">
        <v>52</v>
      </c>
      <c r="C8" s="3" t="s">
        <v>53</v>
      </c>
      <c r="D8" s="2" t="n">
        <v>1</v>
      </c>
      <c r="E8" s="3" t="s">
        <v>47</v>
      </c>
      <c r="F8" s="3" t="s">
        <v>54</v>
      </c>
      <c r="G8" s="3" t="s">
        <v>55</v>
      </c>
      <c r="H8" s="3" t="s">
        <v>56</v>
      </c>
      <c r="I8" s="4" t="n">
        <v>1.5</v>
      </c>
      <c r="J8" s="4" t="n">
        <f aca="false">D8*I8</f>
        <v>1.5</v>
      </c>
      <c r="K8" s="3" t="s">
        <v>57</v>
      </c>
    </row>
    <row r="9" customFormat="false" ht="23.85" hidden="false" customHeight="false" outlineLevel="0" collapsed="false">
      <c r="A9" s="2" t="n">
        <v>8</v>
      </c>
      <c r="B9" s="3" t="s">
        <v>58</v>
      </c>
      <c r="C9" s="3" t="s">
        <v>59</v>
      </c>
      <c r="D9" s="2" t="n">
        <v>3</v>
      </c>
      <c r="E9" s="3" t="s">
        <v>47</v>
      </c>
      <c r="F9" s="3" t="s">
        <v>60</v>
      </c>
      <c r="G9" s="3" t="s">
        <v>61</v>
      </c>
      <c r="H9" s="3" t="s">
        <v>43</v>
      </c>
      <c r="I9" s="4" t="n">
        <v>0.25</v>
      </c>
      <c r="J9" s="4" t="n">
        <f aca="false">D9*I9</f>
        <v>0.75</v>
      </c>
      <c r="K9" s="3" t="s">
        <v>62</v>
      </c>
    </row>
    <row r="10" customFormat="false" ht="23.85" hidden="false" customHeight="false" outlineLevel="0" collapsed="false">
      <c r="A10" s="2" t="n">
        <v>9</v>
      </c>
      <c r="B10" s="3" t="s">
        <v>63</v>
      </c>
      <c r="C10" s="3" t="s">
        <v>64</v>
      </c>
      <c r="D10" s="2" t="n">
        <v>3</v>
      </c>
      <c r="E10" s="3" t="s">
        <v>47</v>
      </c>
      <c r="F10" s="3" t="s">
        <v>65</v>
      </c>
      <c r="G10" s="3" t="s">
        <v>66</v>
      </c>
      <c r="H10" s="3" t="s">
        <v>56</v>
      </c>
      <c r="I10" s="4" t="n">
        <v>0.6</v>
      </c>
      <c r="J10" s="4" t="n">
        <f aca="false">D10*I10</f>
        <v>1.8</v>
      </c>
      <c r="K10" s="3" t="s">
        <v>67</v>
      </c>
    </row>
    <row r="11" customFormat="false" ht="23.85" hidden="false" customHeight="false" outlineLevel="0" collapsed="false">
      <c r="A11" s="2" t="n">
        <v>10</v>
      </c>
      <c r="B11" s="3" t="s">
        <v>68</v>
      </c>
      <c r="C11" s="3" t="s">
        <v>69</v>
      </c>
      <c r="D11" s="2" t="n">
        <v>1</v>
      </c>
      <c r="E11" s="3" t="s">
        <v>47</v>
      </c>
      <c r="F11" s="3" t="s">
        <v>70</v>
      </c>
      <c r="G11" s="3" t="s">
        <v>71</v>
      </c>
      <c r="H11" s="3" t="s">
        <v>43</v>
      </c>
      <c r="I11" s="4" t="n">
        <v>5</v>
      </c>
      <c r="J11" s="4" t="n">
        <f aca="false">D11*I11</f>
        <v>5</v>
      </c>
      <c r="K11" s="3" t="s">
        <v>72</v>
      </c>
    </row>
    <row r="12" customFormat="false" ht="15" hidden="false" customHeight="false" outlineLevel="0" collapsed="false">
      <c r="A12" s="2" t="n">
        <v>11</v>
      </c>
      <c r="B12" s="3" t="s">
        <v>73</v>
      </c>
      <c r="C12" s="3" t="s">
        <v>74</v>
      </c>
      <c r="D12" s="2" t="n">
        <v>6</v>
      </c>
      <c r="E12" s="3" t="s">
        <v>47</v>
      </c>
      <c r="F12" s="3" t="s">
        <v>75</v>
      </c>
      <c r="G12" s="3" t="s">
        <v>76</v>
      </c>
      <c r="H12" s="3" t="s">
        <v>43</v>
      </c>
      <c r="I12" s="4" t="n">
        <v>0.35</v>
      </c>
      <c r="J12" s="4" t="n">
        <f aca="false">D12*I12</f>
        <v>2.1</v>
      </c>
      <c r="K12" s="3" t="s">
        <v>77</v>
      </c>
    </row>
    <row r="13" customFormat="false" ht="23.85" hidden="false" customHeight="false" outlineLevel="0" collapsed="false">
      <c r="A13" s="2" t="n">
        <v>12</v>
      </c>
      <c r="B13" s="3" t="s">
        <v>78</v>
      </c>
      <c r="C13" s="3" t="s">
        <v>79</v>
      </c>
      <c r="D13" s="2" t="n">
        <v>1</v>
      </c>
      <c r="E13" s="3" t="s">
        <v>47</v>
      </c>
      <c r="F13" s="3" t="s">
        <v>80</v>
      </c>
      <c r="G13" s="3" t="s">
        <v>81</v>
      </c>
      <c r="H13" s="3" t="s">
        <v>50</v>
      </c>
      <c r="I13" s="4" t="n">
        <v>3.5</v>
      </c>
      <c r="J13" s="4" t="n">
        <f aca="false">D13*I13</f>
        <v>3.5</v>
      </c>
      <c r="K13" s="3" t="s">
        <v>82</v>
      </c>
    </row>
    <row r="14" customFormat="false" ht="23.85" hidden="false" customHeight="false" outlineLevel="0" collapsed="false">
      <c r="A14" s="2" t="n">
        <v>13</v>
      </c>
      <c r="B14" s="3" t="s">
        <v>83</v>
      </c>
      <c r="C14" s="3" t="s">
        <v>84</v>
      </c>
      <c r="D14" s="2" t="n">
        <v>1</v>
      </c>
      <c r="E14" s="3" t="s">
        <v>47</v>
      </c>
      <c r="F14" s="3" t="s">
        <v>85</v>
      </c>
      <c r="G14" s="3" t="s">
        <v>86</v>
      </c>
      <c r="H14" s="3" t="s">
        <v>43</v>
      </c>
      <c r="I14" s="4" t="n">
        <v>2</v>
      </c>
      <c r="J14" s="4" t="n">
        <f aca="false">D14*I14</f>
        <v>2</v>
      </c>
      <c r="K14" s="3" t="s">
        <v>87</v>
      </c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6" t="s">
        <v>88</v>
      </c>
      <c r="I15" s="5"/>
      <c r="J15" s="7" t="n">
        <f aca="false">SUM(J2:J14)</f>
        <v>87.95</v>
      </c>
      <c r="K15" s="5"/>
    </row>
    <row r="17" customFormat="false" ht="15" hidden="false" customHeight="false" outlineLevel="0" collapsed="false">
      <c r="A17" s="8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2026-09-14T23:44:19Z</dcterms:created>
  <dc:creator>openpyxl</dc:creator>
  <dc:description/>
  <dc:language>en-US</dc:language>
  <cp:lastModifiedBy/>
  <dcterms:modified xsi:type="dcterms:W3CDTF">2026-09-14T23:44:19Z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